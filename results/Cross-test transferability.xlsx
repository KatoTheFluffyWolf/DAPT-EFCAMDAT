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ELTS -&gt; FCE" sheetId="1" r:id="rId5"/>
    <sheet state="visible" name="FCE -&gt; IELTS" sheetId="2" r:id="rId6"/>
  </sheets>
  <definedNames/>
  <calcPr/>
</workbook>
</file>

<file path=xl/sharedStrings.xml><?xml version="1.0" encoding="utf-8"?>
<sst xmlns="http://schemas.openxmlformats.org/spreadsheetml/2006/main" count="210" uniqueCount="172">
  <si>
    <t>IELTS -&gt; FCE</t>
  </si>
  <si>
    <t>Model</t>
  </si>
  <si>
    <t>n</t>
  </si>
  <si>
    <t>RMSE ↓</t>
  </si>
  <si>
    <t>QWK ↑</t>
  </si>
  <si>
    <t>Spearman ↑</t>
  </si>
  <si>
    <t>Pearson ↑</t>
  </si>
  <si>
    <t>DAPT-BERT</t>
  </si>
  <si>
    <t>In-domain</t>
  </si>
  <si>
    <t>2.557 (+0.456)</t>
  </si>
  <si>
    <t>0.429 (-0.169)</t>
  </si>
  <si>
    <t>0.490 (-0.162)</t>
  </si>
  <si>
    <t>0.515 (-0.163)</t>
  </si>
  <si>
    <t>2.433 (+0.332)</t>
  </si>
  <si>
    <t>0.483 (-0.115)</t>
  </si>
  <si>
    <t>0.596 (-0.056)</t>
  </si>
  <si>
    <t>0.616 (-0.062)</t>
  </si>
  <si>
    <t>2.271 (+0.170)</t>
  </si>
  <si>
    <t>0.510 (-0.088)</t>
  </si>
  <si>
    <t>0.590 (-0.062)</t>
  </si>
  <si>
    <t>0.605 (-0.073)</t>
  </si>
  <si>
    <t>BERT</t>
  </si>
  <si>
    <t>2.403 (+0.087)</t>
  </si>
  <si>
    <t>0.417 (-0.154)</t>
  </si>
  <si>
    <t>0.528 (-0.149)</t>
  </si>
  <si>
    <t>0.533 (-0.151)</t>
  </si>
  <si>
    <t>2.253 (-0.063)</t>
  </si>
  <si>
    <t>0.514 (-0.057)</t>
  </si>
  <si>
    <t>0.590 (-0.087)</t>
  </si>
  <si>
    <t>0.597 (-0.087)</t>
  </si>
  <si>
    <t>2.216 (-0.100)</t>
  </si>
  <si>
    <t>0.586 (+0.015)</t>
  </si>
  <si>
    <t>0.610 (-0.067)</t>
  </si>
  <si>
    <t>0.623 (-0.061)</t>
  </si>
  <si>
    <t>DAPT-RoBERTa</t>
  </si>
  <si>
    <t>2.671 (+0.471)</t>
  </si>
  <si>
    <t>0.265 (-0.289)</t>
  </si>
  <si>
    <t>0.485 (-0.182)</t>
  </si>
  <si>
    <t>0.487 (-0.196)</t>
  </si>
  <si>
    <t>2.233 (+0.033)</t>
  </si>
  <si>
    <t>0.517 (-0.037)</t>
  </si>
  <si>
    <t>0.661 (-0.006)</t>
  </si>
  <si>
    <t>0.664 (-0.019)</t>
  </si>
  <si>
    <t>2.196 (-0.004)</t>
  </si>
  <si>
    <t>0.495 (-0.059)</t>
  </si>
  <si>
    <t>0.637 (-0.030)</t>
  </si>
  <si>
    <t>0.640 (-0.043)</t>
  </si>
  <si>
    <t>RoBERTa</t>
  </si>
  <si>
    <t>2.440 (+0.302)</t>
  </si>
  <si>
    <t>0.430 (-0.083)</t>
  </si>
  <si>
    <t>0.644 (-0.042)</t>
  </si>
  <si>
    <t>0.652 (-0.043)</t>
  </si>
  <si>
    <t>2.271 (+0.133)</t>
  </si>
  <si>
    <t>0.486 (-0.027)</t>
  </si>
  <si>
    <t>0.641 (-0.045)</t>
  </si>
  <si>
    <t>0.649 (-0.046)</t>
  </si>
  <si>
    <t>2.325 (+0.187)</t>
  </si>
  <si>
    <t>0.550 (+0.037)</t>
  </si>
  <si>
    <t>0.662 (-0.024)</t>
  </si>
  <si>
    <t>0.672 (-0.023)</t>
  </si>
  <si>
    <t>DAPT-DistilBERT</t>
  </si>
  <si>
    <t>2.395 (+0.280)</t>
  </si>
  <si>
    <t>0.432 (-0.155)</t>
  </si>
  <si>
    <t>0.493 (-0.146)</t>
  </si>
  <si>
    <t>0.525 (-0.140)</t>
  </si>
  <si>
    <t>2.297 (+0.182)</t>
  </si>
  <si>
    <t>0.530 (-0.057)</t>
  </si>
  <si>
    <t>0.570 (-0.069)</t>
  </si>
  <si>
    <t>0.602 (-0.063)</t>
  </si>
  <si>
    <t>2.208 (+0.093)</t>
  </si>
  <si>
    <t>0.589 (+0.002)</t>
  </si>
  <si>
    <t>0.590 (-0.049)</t>
  </si>
  <si>
    <t>0.626 (-0.039)</t>
  </si>
  <si>
    <t>DistilBERT</t>
  </si>
  <si>
    <t>2.422 (+0.342)</t>
  </si>
  <si>
    <t>0.428 (-0.186)</t>
  </si>
  <si>
    <t>0.522 (-0.145)</t>
  </si>
  <si>
    <t>0.518 (-0.157)</t>
  </si>
  <si>
    <t>2.307 (+0.227)</t>
  </si>
  <si>
    <t>0.509 (-0.105)</t>
  </si>
  <si>
    <t>0.574 (-0.093)</t>
  </si>
  <si>
    <t>0.575 (-0.100)</t>
  </si>
  <si>
    <t>2.222 (+0.142)</t>
  </si>
  <si>
    <t>0.559 (-0.055)</t>
  </si>
  <si>
    <t>0.596 (-0.071)</t>
  </si>
  <si>
    <t>0.612 (-0.063)</t>
  </si>
  <si>
    <t>Pair</t>
  </si>
  <si>
    <t>RMSE advantage</t>
  </si>
  <si>
    <t>QWK advantage</t>
  </si>
  <si>
    <t>Spearman advantage</t>
  </si>
  <si>
    <t>Pearson advantage</t>
  </si>
  <si>
    <t>DAPT-BERT vs BERT</t>
  </si>
  <si>
    <t>DAPT-RoBERTa vs RoBERTa</t>
  </si>
  <si>
    <t>DAPT-DistilBERT vs DistilBERT</t>
  </si>
  <si>
    <t>FCE -&gt; IELTS</t>
  </si>
  <si>
    <t>0.832 (+0.095)</t>
  </si>
  <si>
    <t>0.375 (-0.314)</t>
  </si>
  <si>
    <t>0.699 (-0.065)</t>
  </si>
  <si>
    <t>0.699 (-0.079)</t>
  </si>
  <si>
    <t>0.743 (+0.006)</t>
  </si>
  <si>
    <t>0.628 (-0.061)</t>
  </si>
  <si>
    <t>0.727 (-0.037)</t>
  </si>
  <si>
    <t>0.742 (-0.036)</t>
  </si>
  <si>
    <t>0.737 (+0.000)</t>
  </si>
  <si>
    <t>0.660 (-0.029)</t>
  </si>
  <si>
    <t>0.748 (-0.016)</t>
  </si>
  <si>
    <t>0.755 (-0.023)</t>
  </si>
  <si>
    <t>0.661 (+0.029)</t>
  </si>
  <si>
    <t>0.722 (+0.010)</t>
  </si>
  <si>
    <t>0.751 (-0.033)</t>
  </si>
  <si>
    <t>0.749 (-0.036)</t>
  </si>
  <si>
    <t>0.648 (+0.016)</t>
  </si>
  <si>
    <t>0.733 (+0.021)</t>
  </si>
  <si>
    <t>0.767 (-0.017)</t>
  </si>
  <si>
    <t>0.772 (-0.013)</t>
  </si>
  <si>
    <t>0.607 (-0.025)</t>
  </si>
  <si>
    <t>0.808 (+0.096)</t>
  </si>
  <si>
    <t>0.793 (+0.009)</t>
  </si>
  <si>
    <t>0.802 (+0.017)</t>
  </si>
  <si>
    <t>0.717 (-0.135)</t>
  </si>
  <si>
    <t>0.600 (+0.111)</t>
  </si>
  <si>
    <t>0.754 (+0.015)</t>
  </si>
  <si>
    <t>0.734 (-0.032)</t>
  </si>
  <si>
    <t>0.792 (-0.060)</t>
  </si>
  <si>
    <t>0.477 (-0.012)</t>
  </si>
  <si>
    <t>0.723 (-0.016)</t>
  </si>
  <si>
    <t>0.733 (-0.033)</t>
  </si>
  <si>
    <t>0.726 (-0.126)</t>
  </si>
  <si>
    <t>0.661 (+0.172)</t>
  </si>
  <si>
    <t>0.760 (+0.021)</t>
  </si>
  <si>
    <t>0.769 (+0.003)</t>
  </si>
  <si>
    <t>0.715 (+0.009)</t>
  </si>
  <si>
    <t>0.676 (+0.015)</t>
  </si>
  <si>
    <t>0.775 (-0.008)</t>
  </si>
  <si>
    <t>0.788 (-0.021)</t>
  </si>
  <si>
    <t>0.759 (+0.053)</t>
  </si>
  <si>
    <t>0.703 (+0.042)</t>
  </si>
  <si>
    <t>0.773 (-0.010)</t>
  </si>
  <si>
    <t>0.801 (-0.008)</t>
  </si>
  <si>
    <t>0.592 (-0.114)</t>
  </si>
  <si>
    <t>0.764 (+0.103)</t>
  </si>
  <si>
    <t>0.786 (+0.003)</t>
  </si>
  <si>
    <t>0.807 (-0.002)</t>
  </si>
  <si>
    <t>0.822 (+0.131)</t>
  </si>
  <si>
    <t>0.547 (-0.158)</t>
  </si>
  <si>
    <t>0.666 (-0.059)</t>
  </si>
  <si>
    <t>0.669 (-0.061)</t>
  </si>
  <si>
    <t>0.726 (+0.035)</t>
  </si>
  <si>
    <t>0.623 (-0.082)</t>
  </si>
  <si>
    <t>0.707 (-0.018)</t>
  </si>
  <si>
    <t>0.693 (-0.037)</t>
  </si>
  <si>
    <t>0.687 (-0.004)</t>
  </si>
  <si>
    <t>0.669 (-0.036)</t>
  </si>
  <si>
    <t>0.716 (-0.009)</t>
  </si>
  <si>
    <t>0.725 (-0.005)</t>
  </si>
  <si>
    <t>0.776 (+0.063)</t>
  </si>
  <si>
    <t>0.625 (-0.075)</t>
  </si>
  <si>
    <t>0.728 (-0.004)</t>
  </si>
  <si>
    <t>0.729 (-0.008)</t>
  </si>
  <si>
    <t>0.681 (-0.032)</t>
  </si>
  <si>
    <t>0.662 (-0.038)</t>
  </si>
  <si>
    <t>0.751 (+0.019)</t>
  </si>
  <si>
    <t>0.749 (+0.012)</t>
  </si>
  <si>
    <t>0.656 (-0.057)</t>
  </si>
  <si>
    <t>0.707 (+0.007)</t>
  </si>
  <si>
    <t>0.765 (+0.028)</t>
  </si>
  <si>
    <t>DAPT wins</t>
  </si>
  <si>
    <t>0 / 4</t>
  </si>
  <si>
    <t>1 / 4</t>
  </si>
  <si>
    <t>DAPT-ROBERTA vs ROBERTA</t>
  </si>
  <si>
    <t>3 / 4</t>
  </si>
  <si>
    <t>4 /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</si>
</sst>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rgb="FFFFFFFF"/>
      <name val="Carlito"/>
    </font>
    <font>
      <sz val="11.0"/>
      <color rgb="FF000000"/>
      <name val="Carlito"/>
    </font>
    <font>
      <b/>
      <sz val="11.0"/>
      <color rgb="FF991B1B"/>
      <name val="Carlito"/>
    </font>
    <font>
      <b/>
      <sz val="11.0"/>
      <color rgb="FF166534"/>
      <name val="Carlito"/>
    </font>
    <font/>
    <font>
      <color rgb="FF434343"/>
      <name val="Roboto"/>
    </font>
    <font>
      <b/>
      <color rgb="FF434343"/>
      <name val="Roboto"/>
    </font>
    <font>
      <b/>
      <color theme="1"/>
      <name val="Arial"/>
    </font>
    <font>
      <b/>
      <sz val="11.0"/>
      <color theme="1"/>
      <name val="Carlito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right" readingOrder="0"/>
    </xf>
    <xf borderId="0" fillId="2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2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right" readingOrder="0"/>
    </xf>
    <xf borderId="0" fillId="2" fontId="1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right" readingOrder="0" shrinkToFit="0" wrapText="0"/>
    </xf>
    <xf borderId="0" fillId="0" fontId="5" numFmtId="0" xfId="0" applyAlignment="1" applyFont="1">
      <alignment horizontal="right" readingOrder="0" shrinkToFit="0" wrapText="0"/>
    </xf>
    <xf borderId="0" fillId="0" fontId="6" numFmtId="0" xfId="0" applyAlignment="1" applyFont="1">
      <alignment horizontal="right" shrinkToFit="0" wrapText="0"/>
    </xf>
    <xf borderId="0" fillId="0" fontId="4" numFmtId="0" xfId="0" applyAlignment="1" applyFont="1">
      <alignment readingOrder="0"/>
    </xf>
    <xf borderId="3" fillId="0" fontId="7" numFmtId="0" xfId="0" applyBorder="1" applyFont="1"/>
    <xf borderId="0" fillId="2" fontId="8" numFmtId="0" xfId="0" applyAlignment="1" applyFont="1">
      <alignment horizontal="right" shrinkToFit="0" wrapText="0"/>
    </xf>
    <xf borderId="0" fillId="2" fontId="1" numFmtId="0" xfId="0" applyAlignment="1" applyFont="1">
      <alignment horizontal="center" readingOrder="0" vertical="center"/>
    </xf>
    <xf borderId="4" fillId="0" fontId="7" numFmtId="0" xfId="0" applyBorder="1" applyFont="1"/>
    <xf borderId="0" fillId="2" fontId="9" numFmtId="0" xfId="0" applyAlignment="1" applyFont="1">
      <alignment horizontal="right" readingOrder="0" shrinkToFit="0" wrapText="0"/>
    </xf>
    <xf borderId="0" fillId="2" fontId="10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2" fontId="1" numFmtId="0" xfId="0" applyAlignment="1" applyFont="1">
      <alignment horizontal="right" readingOrder="0"/>
    </xf>
    <xf borderId="0" fillId="2" fontId="10" numFmtId="0" xfId="0" applyAlignment="1" applyFont="1">
      <alignment vertical="bottom"/>
    </xf>
    <xf borderId="0" fillId="0" fontId="2" numFmtId="0" xfId="0" applyAlignment="1" applyFont="1">
      <alignment horizontal="right"/>
    </xf>
    <xf borderId="0" fillId="2" fontId="2" numFmtId="0" xfId="0" applyAlignment="1" applyFont="1">
      <alignment horizontal="right"/>
    </xf>
    <xf borderId="0" fillId="2" fontId="1" numFmtId="0" xfId="0" applyAlignment="1" applyFont="1">
      <alignment horizontal="center"/>
    </xf>
    <xf borderId="1" fillId="0" fontId="1" numFmtId="0" xfId="0" applyAlignment="1" applyBorder="1" applyFont="1">
      <alignment horizontal="right"/>
    </xf>
    <xf borderId="0" fillId="2" fontId="1" numFmtId="164" xfId="0" applyAlignment="1" applyFont="1" applyNumberFormat="1">
      <alignment readingOrder="0"/>
    </xf>
    <xf borderId="0" fillId="2" fontId="1" numFmtId="0" xfId="0" applyFont="1"/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right" readingOrder="0" shrinkToFit="0" wrapText="0"/>
    </xf>
    <xf borderId="0" fillId="0" fontId="12" numFmtId="0" xfId="0" applyAlignment="1" applyFont="1">
      <alignment horizontal="right" readingOrder="0" shrinkToFit="0" wrapText="0"/>
    </xf>
    <xf borderId="0" fillId="0" fontId="12" numFmtId="0" xfId="0" applyAlignment="1" applyFont="1">
      <alignment readingOrder="0"/>
    </xf>
    <xf borderId="1" fillId="0" fontId="1" numFmtId="0" xfId="0" applyAlignment="1" applyBorder="1" applyFont="1">
      <alignment horizontal="righ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4">
    <tableStyle count="2" pivot="0" name="IELTS -&gt; FCE-style">
      <tableStyleElement dxfId="1" type="firstRowStripe"/>
      <tableStyleElement dxfId="2" type="secondRowStripe"/>
    </tableStyle>
    <tableStyle count="2" pivot="0" name="IELTS -&gt; FCE-style 2">
      <tableStyleElement dxfId="1" type="firstRowStripe"/>
      <tableStyleElement dxfId="2" type="secondRowStripe"/>
    </tableStyle>
    <tableStyle count="2" pivot="0" name="IELTS -&gt; FCE-style 3">
      <tableStyleElement dxfId="2" type="firstRowStripe"/>
      <tableStyleElement dxfId="1" type="secondRowStripe"/>
    </tableStyle>
    <tableStyle count="2" pivot="0" name="IELTS -&gt; FCE-style 4">
      <tableStyleElement dxfId="2" type="firstRowStripe"/>
      <tableStyleElement dxfId="1" type="secondRowStripe"/>
    </tableStyle>
    <tableStyle count="2" pivot="0" name="IELTS -&gt; FCE-style 5">
      <tableStyleElement dxfId="2" type="firstRowStripe"/>
      <tableStyleElement dxfId="1" type="secondRowStripe"/>
    </tableStyle>
    <tableStyle count="2" pivot="0" name="IELTS -&gt; FCE-style 6">
      <tableStyleElement dxfId="2" type="firstRowStripe"/>
      <tableStyleElement dxfId="1" type="secondRowStripe"/>
    </tableStyle>
    <tableStyle count="2" pivot="0" name="IELTS -&gt; FCE-style 7">
      <tableStyleElement dxfId="2" type="firstRowStripe"/>
      <tableStyleElement dxfId="1" type="secondRowStripe"/>
    </tableStyle>
    <tableStyle count="2" pivot="0" name="FCE -&gt; IELTS-style">
      <tableStyleElement dxfId="2" type="firstRowStripe"/>
      <tableStyleElement dxfId="1" type="secondRowStripe"/>
    </tableStyle>
    <tableStyle count="2" pivot="0" name="FCE -&gt; IELTS-style 2">
      <tableStyleElement dxfId="1" type="firstRowStripe"/>
      <tableStyleElement dxfId="2" type="secondRowStripe"/>
    </tableStyle>
    <tableStyle count="2" pivot="0" name="FCE -&gt; IELTS-style 3">
      <tableStyleElement dxfId="2" type="firstRowStripe"/>
      <tableStyleElement dxfId="1" type="secondRowStripe"/>
    </tableStyle>
    <tableStyle count="2" pivot="0" name="FCE -&gt; IELTS-style 4">
      <tableStyleElement dxfId="1" type="firstRowStripe"/>
      <tableStyleElement dxfId="2" type="secondRowStripe"/>
    </tableStyle>
    <tableStyle count="2" pivot="0" name="FCE -&gt; IELTS-style 5">
      <tableStyleElement dxfId="2" type="firstRowStripe"/>
      <tableStyleElement dxfId="1" type="secondRowStripe"/>
    </tableStyle>
    <tableStyle count="2" pivot="0" name="FCE -&gt; IELTS-style 6">
      <tableStyleElement dxfId="1" type="firstRowStripe"/>
      <tableStyleElement dxfId="2" type="secondRowStripe"/>
    </tableStyle>
    <tableStyle count="2" pivot="0" name="FCE -&gt; IELTS-style 7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3:F3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IELTS -&gt; FCE-style" showColumnStripes="0" showFirstColumn="1" showLastColumn="1" showRowStripes="1"/>
</table>
</file>

<file path=xl/tables/table2.xml><?xml version="1.0" encoding="utf-8"?>
<table xmlns="http://schemas.openxmlformats.org/spreadsheetml/2006/main" headerRowCount="0" ref="B4:E8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IELTS -&gt; FCE-style 2" showColumnStripes="0" showFirstColumn="1" showLastColumn="1" showRowStripes="1"/>
</table>
</file>

<file path=xl/tables/table3.xml><?xml version="1.0" encoding="utf-8"?>
<table xmlns="http://schemas.openxmlformats.org/spreadsheetml/2006/main" headerRowCount="0" ref="G4:W13" displayName="Table_3" name="Table_3" id="3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IELTS -&gt; FCE-style 3" showColumnStripes="0" showFirstColumn="1" showLastColumn="1" showRowStripes="1"/>
</table>
</file>

<file path=xl/tables/table4.xml><?xml version="1.0" encoding="utf-8"?>
<table xmlns="http://schemas.openxmlformats.org/spreadsheetml/2006/main" headerRowCount="0" ref="B11:E12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IELTS -&gt; FCE-style 4" showColumnStripes="0" showFirstColumn="1" showLastColumn="1" showRowStripes="1"/>
</table>
</file>

<file path=xl/tables/table5.xml><?xml version="1.0" encoding="utf-8"?>
<table xmlns="http://schemas.openxmlformats.org/spreadsheetml/2006/main" headerRowCount="0" ref="B15:E16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IELTS -&gt; FCE-style 5" showColumnStripes="0" showFirstColumn="1" showLastColumn="1" showRowStripes="1"/>
</table>
</file>

<file path=xl/tables/table6.xml><?xml version="1.0" encoding="utf-8"?>
<table xmlns="http://schemas.openxmlformats.org/spreadsheetml/2006/main" headerRowCount="0" ref="B19:E20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IELTS -&gt; FCE-style 6" showColumnStripes="0" showFirstColumn="1" showLastColumn="1" showRowStripes="1"/>
</table>
</file>

<file path=xl/tables/table7.xml><?xml version="1.0" encoding="utf-8"?>
<table xmlns="http://schemas.openxmlformats.org/spreadsheetml/2006/main" headerRowCount="0" ref="B23:E24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IELTS -&gt; FCE-style 7" showColumnStripes="0" showFirstColumn="1" showLastColumn="1" showRowStripes="1"/>
</table>
</file>

<file path=xl/tables/table8.xml><?xml version="1.0" encoding="utf-8"?>
<table xmlns="http://schemas.openxmlformats.org/spreadsheetml/2006/main" headerRowCount="0" ref="C3:F3" displayName="Table_8" name="Table_8" id="8">
  <tableColumns count="4">
    <tableColumn name="Column1" id="1"/>
    <tableColumn name="Column2" id="2"/>
    <tableColumn name="Column3" id="3"/>
    <tableColumn name="Column4" id="4"/>
  </tableColumns>
  <tableStyleInfo name="FCE -&gt; IELTS-style" showColumnStripes="0" showFirstColumn="1" showLastColumn="1" showRowStripes="1"/>
</table>
</file>

<file path=xl/tables/table9.xml><?xml version="1.0" encoding="utf-8"?>
<table xmlns="http://schemas.openxmlformats.org/spreadsheetml/2006/main" headerRowCount="0" ref="B4:E8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FCE -&gt; IELTS-style 2" showColumnStripes="0" showFirstColumn="1" showLastColumn="1" showRowStripes="1"/>
</table>
</file>

<file path=xl/tables/table10.xml><?xml version="1.0" encoding="utf-8"?>
<table xmlns="http://schemas.openxmlformats.org/spreadsheetml/2006/main" headerRowCount="0" ref="G4:W13" displayName="Table_10" name="Table_10" id="1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FCE -&gt; IELTS-style 3" showColumnStripes="0" showFirstColumn="1" showLastColumn="1" showRowStripes="1"/>
</table>
</file>

<file path=xl/tables/table11.xml><?xml version="1.0" encoding="utf-8"?>
<table xmlns="http://schemas.openxmlformats.org/spreadsheetml/2006/main" headerRowCount="0" ref="C11:F11" displayName="Table_11" name="Table_11" id="11">
  <tableColumns count="4">
    <tableColumn name="Column1" id="1"/>
    <tableColumn name="Column2" id="2"/>
    <tableColumn name="Column3" id="3"/>
    <tableColumn name="Column4" id="4"/>
  </tableColumns>
  <tableStyleInfo name="FCE -&gt; IELTS-style 4" showColumnStripes="0" showFirstColumn="1" showLastColumn="1" showRowStripes="1"/>
</table>
</file>

<file path=xl/tables/table12.xml><?xml version="1.0" encoding="utf-8"?>
<table xmlns="http://schemas.openxmlformats.org/spreadsheetml/2006/main" headerRowCount="0" ref="C15:F15" displayName="Table_12" name="Table_12" id="12">
  <tableColumns count="4">
    <tableColumn name="Column1" id="1"/>
    <tableColumn name="Column2" id="2"/>
    <tableColumn name="Column3" id="3"/>
    <tableColumn name="Column4" id="4"/>
  </tableColumns>
  <tableStyleInfo name="FCE -&gt; IELTS-style 5" showColumnStripes="0" showFirstColumn="1" showLastColumn="1" showRowStripes="1"/>
</table>
</file>

<file path=xl/tables/table13.xml><?xml version="1.0" encoding="utf-8"?>
<table xmlns="http://schemas.openxmlformats.org/spreadsheetml/2006/main" headerRowCount="0" ref="C19:F19" displayName="Table_13" name="Table_13" id="13">
  <tableColumns count="4">
    <tableColumn name="Column1" id="1"/>
    <tableColumn name="Column2" id="2"/>
    <tableColumn name="Column3" id="3"/>
    <tableColumn name="Column4" id="4"/>
  </tableColumns>
  <tableStyleInfo name="FCE -&gt; IELTS-style 6" showColumnStripes="0" showFirstColumn="1" showLastColumn="1" showRowStripes="1"/>
</table>
</file>

<file path=xl/tables/table14.xml><?xml version="1.0" encoding="utf-8"?>
<table xmlns="http://schemas.openxmlformats.org/spreadsheetml/2006/main" headerRowCount="0" ref="C23:F23" displayName="Table_14" name="Table_14" id="14">
  <tableColumns count="4">
    <tableColumn name="Column1" id="1"/>
    <tableColumn name="Column2" id="2"/>
    <tableColumn name="Column3" id="3"/>
    <tableColumn name="Column4" id="4"/>
  </tableColumns>
  <tableStyleInfo name="FCE -&gt; IELTS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13" Type="http://schemas.openxmlformats.org/officeDocument/2006/relationships/table" Target="../tables/table12.xml"/><Relationship Id="rId12" Type="http://schemas.openxmlformats.org/officeDocument/2006/relationships/table" Target="../tables/table11.xml"/><Relationship Id="rId9" Type="http://schemas.openxmlformats.org/officeDocument/2006/relationships/table" Target="../tables/table8.xml"/><Relationship Id="rId15" Type="http://schemas.openxmlformats.org/officeDocument/2006/relationships/table" Target="../tables/table14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3.13"/>
    <col customWidth="1" min="3" max="3" width="20.63"/>
    <col customWidth="1" min="4" max="4" width="18.5"/>
    <col customWidth="1" min="5" max="5" width="16.5"/>
    <col customWidth="1" min="6" max="6" width="16.13"/>
    <col customWidth="1" min="23" max="23" width="28.13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1"/>
      <c r="Y2" s="1"/>
      <c r="Z2" s="1"/>
    </row>
    <row r="3">
      <c r="A3" s="7" t="s">
        <v>7</v>
      </c>
      <c r="B3" s="8" t="s">
        <v>8</v>
      </c>
      <c r="C3" s="9">
        <v>2.101</v>
      </c>
      <c r="D3" s="9">
        <v>0.598</v>
      </c>
      <c r="E3" s="9">
        <v>0.652</v>
      </c>
      <c r="F3" s="9">
        <v>0.678</v>
      </c>
      <c r="G3" s="10"/>
      <c r="H3" s="11"/>
      <c r="I3" s="12"/>
      <c r="J3" s="12"/>
      <c r="K3" s="12"/>
      <c r="L3" s="13"/>
      <c r="M3" s="12"/>
      <c r="N3" s="12"/>
      <c r="O3" s="14"/>
      <c r="P3" s="12"/>
      <c r="Q3" s="12"/>
      <c r="R3" s="13"/>
      <c r="S3" s="12"/>
      <c r="T3" s="12"/>
      <c r="U3" s="13"/>
      <c r="V3" s="12"/>
      <c r="W3" s="15"/>
      <c r="X3" s="1"/>
      <c r="Y3" s="1"/>
      <c r="Z3" s="1"/>
    </row>
    <row r="4">
      <c r="A4" s="16"/>
      <c r="B4" s="8">
        <v>50.0</v>
      </c>
      <c r="C4" s="9" t="s">
        <v>9</v>
      </c>
      <c r="D4" s="9" t="s">
        <v>10</v>
      </c>
      <c r="E4" s="9" t="s">
        <v>11</v>
      </c>
      <c r="F4" s="9" t="s">
        <v>12</v>
      </c>
      <c r="G4" s="17"/>
      <c r="H4" s="11"/>
      <c r="I4" s="12"/>
      <c r="J4" s="12"/>
      <c r="K4" s="12"/>
      <c r="L4" s="13"/>
      <c r="M4" s="12"/>
      <c r="N4" s="12"/>
      <c r="O4" s="13"/>
      <c r="P4" s="12"/>
      <c r="Q4" s="12"/>
      <c r="R4" s="14"/>
      <c r="S4" s="12"/>
      <c r="T4" s="12"/>
      <c r="U4" s="14"/>
      <c r="V4" s="12"/>
      <c r="W4" s="15"/>
      <c r="X4" s="1"/>
      <c r="Y4" s="1"/>
      <c r="Z4" s="1"/>
    </row>
    <row r="5">
      <c r="A5" s="16"/>
      <c r="B5" s="8">
        <v>100.0</v>
      </c>
      <c r="C5" s="9" t="s">
        <v>13</v>
      </c>
      <c r="D5" s="9" t="s">
        <v>14</v>
      </c>
      <c r="E5" s="9" t="s">
        <v>15</v>
      </c>
      <c r="F5" s="9" t="s">
        <v>16</v>
      </c>
      <c r="G5" s="18"/>
      <c r="H5" s="11"/>
      <c r="I5" s="12"/>
      <c r="J5" s="12"/>
      <c r="K5" s="12"/>
      <c r="L5" s="13"/>
      <c r="M5" s="12"/>
      <c r="N5" s="12"/>
      <c r="O5" s="13"/>
      <c r="P5" s="12"/>
      <c r="Q5" s="12"/>
      <c r="R5" s="13"/>
      <c r="S5" s="12"/>
      <c r="T5" s="12"/>
      <c r="U5" s="13"/>
      <c r="V5" s="12"/>
      <c r="W5" s="15"/>
      <c r="X5" s="1"/>
      <c r="Y5" s="1"/>
      <c r="Z5" s="1"/>
    </row>
    <row r="6">
      <c r="A6" s="19"/>
      <c r="B6" s="8">
        <v>200.0</v>
      </c>
      <c r="C6" s="9" t="s">
        <v>17</v>
      </c>
      <c r="D6" s="9" t="s">
        <v>18</v>
      </c>
      <c r="E6" s="9" t="s">
        <v>19</v>
      </c>
      <c r="F6" s="9" t="s">
        <v>20</v>
      </c>
      <c r="G6" s="10"/>
      <c r="H6" s="11"/>
      <c r="I6" s="12"/>
      <c r="J6" s="12"/>
      <c r="K6" s="12"/>
      <c r="L6" s="13"/>
      <c r="M6" s="12"/>
      <c r="N6" s="12"/>
      <c r="O6" s="13"/>
      <c r="P6" s="12"/>
      <c r="Q6" s="12"/>
      <c r="R6" s="13"/>
      <c r="S6" s="12"/>
      <c r="T6" s="12"/>
      <c r="U6" s="13"/>
      <c r="V6" s="12"/>
      <c r="W6" s="15"/>
      <c r="X6" s="1"/>
      <c r="Y6" s="1"/>
      <c r="Z6" s="1"/>
    </row>
    <row r="7">
      <c r="A7" s="7" t="s">
        <v>21</v>
      </c>
      <c r="B7" s="8" t="s">
        <v>8</v>
      </c>
      <c r="C7" s="9">
        <v>2.316</v>
      </c>
      <c r="D7" s="9">
        <v>0.571</v>
      </c>
      <c r="E7" s="9">
        <v>0.677</v>
      </c>
      <c r="F7" s="9">
        <v>0.684</v>
      </c>
      <c r="G7" s="20"/>
      <c r="H7" s="11"/>
      <c r="I7" s="12"/>
      <c r="J7" s="12"/>
      <c r="K7" s="12"/>
      <c r="L7" s="14"/>
      <c r="M7" s="12"/>
      <c r="N7" s="12"/>
      <c r="O7" s="14"/>
      <c r="P7" s="12"/>
      <c r="Q7" s="12"/>
      <c r="R7" s="14"/>
      <c r="S7" s="12"/>
      <c r="T7" s="12"/>
      <c r="U7" s="14"/>
      <c r="V7" s="12"/>
      <c r="W7" s="15"/>
      <c r="X7" s="1"/>
      <c r="Y7" s="1"/>
      <c r="Z7" s="1"/>
    </row>
    <row r="8">
      <c r="A8" s="16"/>
      <c r="B8" s="8">
        <v>50.0</v>
      </c>
      <c r="C8" s="9" t="s">
        <v>22</v>
      </c>
      <c r="D8" s="9" t="s">
        <v>23</v>
      </c>
      <c r="E8" s="9" t="s">
        <v>24</v>
      </c>
      <c r="F8" s="9" t="s">
        <v>25</v>
      </c>
      <c r="G8" s="18"/>
      <c r="H8" s="11"/>
      <c r="I8" s="12"/>
      <c r="J8" s="12"/>
      <c r="K8" s="12"/>
      <c r="L8" s="14"/>
      <c r="M8" s="12"/>
      <c r="N8" s="12"/>
      <c r="O8" s="13"/>
      <c r="P8" s="12"/>
      <c r="Q8" s="12"/>
      <c r="R8" s="13"/>
      <c r="S8" s="12"/>
      <c r="T8" s="12"/>
      <c r="U8" s="13"/>
      <c r="V8" s="12"/>
      <c r="W8" s="15"/>
      <c r="X8" s="1"/>
      <c r="Y8" s="1"/>
      <c r="Z8" s="1"/>
    </row>
    <row r="9">
      <c r="A9" s="16"/>
      <c r="B9" s="8">
        <v>100.0</v>
      </c>
      <c r="C9" s="9" t="s">
        <v>26</v>
      </c>
      <c r="D9" s="9" t="s">
        <v>27</v>
      </c>
      <c r="E9" s="9" t="s">
        <v>28</v>
      </c>
      <c r="F9" s="9" t="s">
        <v>29</v>
      </c>
      <c r="G9" s="10"/>
      <c r="H9" s="11"/>
      <c r="I9" s="12"/>
      <c r="J9" s="12"/>
      <c r="K9" s="12"/>
      <c r="L9" s="14"/>
      <c r="M9" s="12"/>
      <c r="N9" s="12"/>
      <c r="O9" s="14"/>
      <c r="P9" s="12"/>
      <c r="Q9" s="12"/>
      <c r="R9" s="13"/>
      <c r="S9" s="12"/>
      <c r="T9" s="12"/>
      <c r="U9" s="14"/>
      <c r="V9" s="12"/>
      <c r="W9" s="15"/>
      <c r="X9" s="1"/>
      <c r="Y9" s="1"/>
      <c r="Z9" s="1"/>
    </row>
    <row r="10">
      <c r="A10" s="19"/>
      <c r="B10" s="8">
        <v>200.0</v>
      </c>
      <c r="C10" s="9" t="s">
        <v>30</v>
      </c>
      <c r="D10" s="9" t="s">
        <v>31</v>
      </c>
      <c r="E10" s="9" t="s">
        <v>32</v>
      </c>
      <c r="F10" s="9" t="s">
        <v>33</v>
      </c>
      <c r="G10" s="21"/>
      <c r="H10" s="11"/>
      <c r="I10" s="12"/>
      <c r="J10" s="12"/>
      <c r="K10" s="12"/>
      <c r="L10" s="14"/>
      <c r="M10" s="12"/>
      <c r="N10" s="12"/>
      <c r="O10" s="14"/>
      <c r="P10" s="12"/>
      <c r="Q10" s="12"/>
      <c r="R10" s="13"/>
      <c r="S10" s="12"/>
      <c r="T10" s="12"/>
      <c r="U10" s="14"/>
      <c r="V10" s="12"/>
      <c r="W10" s="15"/>
      <c r="X10" s="1"/>
      <c r="Y10" s="1"/>
      <c r="Z10" s="1"/>
    </row>
    <row r="11">
      <c r="A11" s="7" t="s">
        <v>34</v>
      </c>
      <c r="B11" s="8" t="s">
        <v>8</v>
      </c>
      <c r="C11" s="9">
        <v>2.2</v>
      </c>
      <c r="D11" s="9">
        <v>0.554</v>
      </c>
      <c r="E11" s="9">
        <v>0.667</v>
      </c>
      <c r="F11" s="9">
        <v>0.683</v>
      </c>
      <c r="G11" s="18"/>
      <c r="H11" s="11"/>
      <c r="I11" s="12"/>
      <c r="J11" s="12"/>
      <c r="K11" s="12"/>
      <c r="L11" s="14"/>
      <c r="M11" s="12"/>
      <c r="N11" s="12"/>
      <c r="O11" s="14"/>
      <c r="P11" s="12"/>
      <c r="Q11" s="12"/>
      <c r="R11" s="13"/>
      <c r="S11" s="12"/>
      <c r="T11" s="12"/>
      <c r="U11" s="14"/>
      <c r="V11" s="12"/>
      <c r="W11" s="15"/>
      <c r="X11" s="1"/>
      <c r="Y11" s="1"/>
      <c r="Z11" s="1"/>
    </row>
    <row r="12">
      <c r="A12" s="16"/>
      <c r="B12" s="8">
        <v>50.0</v>
      </c>
      <c r="C12" s="9" t="s">
        <v>35</v>
      </c>
      <c r="D12" s="9" t="s">
        <v>36</v>
      </c>
      <c r="E12" s="9" t="s">
        <v>37</v>
      </c>
      <c r="F12" s="9" t="s">
        <v>38</v>
      </c>
      <c r="G12" s="10"/>
      <c r="H12" s="22"/>
      <c r="J12" s="23"/>
      <c r="K12" s="24"/>
      <c r="L12" s="2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1"/>
      <c r="Y12" s="1"/>
      <c r="Z12" s="1"/>
    </row>
    <row r="13">
      <c r="A13" s="16"/>
      <c r="B13" s="8">
        <v>100.0</v>
      </c>
      <c r="C13" s="9" t="s">
        <v>39</v>
      </c>
      <c r="D13" s="9" t="s">
        <v>40</v>
      </c>
      <c r="E13" s="9" t="s">
        <v>41</v>
      </c>
      <c r="F13" s="9" t="s">
        <v>42</v>
      </c>
      <c r="G13" s="26"/>
      <c r="H13" s="22"/>
      <c r="J13" s="23"/>
      <c r="K13" s="23"/>
      <c r="L13" s="27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1"/>
      <c r="Y13" s="1"/>
      <c r="Z13" s="1"/>
    </row>
    <row r="14">
      <c r="A14" s="19"/>
      <c r="B14" s="8">
        <v>200.0</v>
      </c>
      <c r="C14" s="9" t="s">
        <v>43</v>
      </c>
      <c r="D14" s="9" t="s">
        <v>44</v>
      </c>
      <c r="E14" s="9" t="s">
        <v>45</v>
      </c>
      <c r="F14" s="9" t="s">
        <v>46</v>
      </c>
      <c r="G14" s="1"/>
      <c r="H14" s="22"/>
      <c r="J14" s="23"/>
      <c r="K14" s="23"/>
      <c r="L14" s="2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7" t="s">
        <v>47</v>
      </c>
      <c r="B15" s="8" t="s">
        <v>8</v>
      </c>
      <c r="C15" s="9">
        <v>2.138</v>
      </c>
      <c r="D15" s="9">
        <v>0.513</v>
      </c>
      <c r="E15" s="9">
        <v>0.686</v>
      </c>
      <c r="F15" s="9">
        <v>0.695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8">
        <v>50.0</v>
      </c>
      <c r="C16" s="9" t="s">
        <v>48</v>
      </c>
      <c r="D16" s="9" t="s">
        <v>49</v>
      </c>
      <c r="E16" s="9" t="s">
        <v>50</v>
      </c>
      <c r="F16" s="9" t="s">
        <v>51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/>
      <c r="B17" s="8">
        <v>100.0</v>
      </c>
      <c r="C17" s="9" t="s">
        <v>52</v>
      </c>
      <c r="D17" s="9" t="s">
        <v>53</v>
      </c>
      <c r="E17" s="9" t="s">
        <v>54</v>
      </c>
      <c r="F17" s="9" t="s">
        <v>55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9"/>
      <c r="B18" s="8">
        <v>200.0</v>
      </c>
      <c r="C18" s="9" t="s">
        <v>56</v>
      </c>
      <c r="D18" s="9" t="s">
        <v>57</v>
      </c>
      <c r="E18" s="9" t="s">
        <v>58</v>
      </c>
      <c r="F18" s="9" t="s">
        <v>59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7" t="s">
        <v>60</v>
      </c>
      <c r="B19" s="8" t="s">
        <v>8</v>
      </c>
      <c r="C19" s="9">
        <v>2.115</v>
      </c>
      <c r="D19" s="9">
        <v>0.587</v>
      </c>
      <c r="E19" s="9">
        <v>0.639</v>
      </c>
      <c r="F19" s="9">
        <v>0.665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6"/>
      <c r="B20" s="8">
        <v>50.0</v>
      </c>
      <c r="C20" s="9" t="s">
        <v>61</v>
      </c>
      <c r="D20" s="9" t="s">
        <v>62</v>
      </c>
      <c r="E20" s="9" t="s">
        <v>63</v>
      </c>
      <c r="F20" s="9" t="s">
        <v>64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6"/>
      <c r="B21" s="8">
        <v>100.0</v>
      </c>
      <c r="C21" s="9" t="s">
        <v>65</v>
      </c>
      <c r="D21" s="9" t="s">
        <v>66</v>
      </c>
      <c r="E21" s="9" t="s">
        <v>67</v>
      </c>
      <c r="F21" s="9" t="s">
        <v>68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9"/>
      <c r="B22" s="8">
        <v>200.0</v>
      </c>
      <c r="C22" s="9" t="s">
        <v>69</v>
      </c>
      <c r="D22" s="9" t="s">
        <v>70</v>
      </c>
      <c r="E22" s="9" t="s">
        <v>71</v>
      </c>
      <c r="F22" s="9" t="s">
        <v>72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7" t="s">
        <v>73</v>
      </c>
      <c r="B23" s="8" t="s">
        <v>8</v>
      </c>
      <c r="C23" s="9">
        <v>2.08</v>
      </c>
      <c r="D23" s="9">
        <v>0.614</v>
      </c>
      <c r="E23" s="9">
        <v>0.667</v>
      </c>
      <c r="F23" s="9">
        <v>0.675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6"/>
      <c r="B24" s="8">
        <v>50.0</v>
      </c>
      <c r="C24" s="9" t="s">
        <v>74</v>
      </c>
      <c r="D24" s="9" t="s">
        <v>75</v>
      </c>
      <c r="E24" s="9" t="s">
        <v>76</v>
      </c>
      <c r="F24" s="9" t="s">
        <v>77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6"/>
      <c r="B25" s="8">
        <v>100.0</v>
      </c>
      <c r="C25" s="9" t="s">
        <v>78</v>
      </c>
      <c r="D25" s="9" t="s">
        <v>79</v>
      </c>
      <c r="E25" s="9" t="s">
        <v>80</v>
      </c>
      <c r="F25" s="9" t="s">
        <v>81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9"/>
      <c r="B26" s="8">
        <v>200.0</v>
      </c>
      <c r="C26" s="9" t="s">
        <v>82</v>
      </c>
      <c r="D26" s="9" t="s">
        <v>83</v>
      </c>
      <c r="E26" s="9" t="s">
        <v>84</v>
      </c>
      <c r="F26" s="9" t="s">
        <v>85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 t="s">
        <v>86</v>
      </c>
      <c r="B30" s="3" t="s">
        <v>2</v>
      </c>
      <c r="C30" s="4" t="s">
        <v>87</v>
      </c>
      <c r="D30" s="4" t="s">
        <v>88</v>
      </c>
      <c r="E30" s="4" t="s">
        <v>89</v>
      </c>
      <c r="F30" s="4" t="s">
        <v>90</v>
      </c>
      <c r="G30" s="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7" t="s">
        <v>91</v>
      </c>
      <c r="B31" s="8">
        <v>50.0</v>
      </c>
      <c r="C31" s="9">
        <v>-0.369</v>
      </c>
      <c r="D31" s="9">
        <v>-0.015</v>
      </c>
      <c r="E31" s="9">
        <v>-0.013</v>
      </c>
      <c r="F31" s="9">
        <v>-0.012</v>
      </c>
      <c r="G31" s="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6"/>
      <c r="B32" s="8">
        <v>100.0</v>
      </c>
      <c r="C32" s="9">
        <v>-0.395</v>
      </c>
      <c r="D32" s="9">
        <v>-0.058</v>
      </c>
      <c r="E32" s="30">
        <f>+0.031</f>
        <v>0.031</v>
      </c>
      <c r="F32" s="30">
        <f>+0.025</f>
        <v>0.025</v>
      </c>
      <c r="G32" s="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9"/>
      <c r="B33" s="8">
        <v>200.0</v>
      </c>
      <c r="C33" s="9">
        <v>-0.27</v>
      </c>
      <c r="D33" s="9">
        <v>-0.103</v>
      </c>
      <c r="E33" s="30">
        <f>+0.005</f>
        <v>0.005</v>
      </c>
      <c r="F33" s="9">
        <v>-0.012</v>
      </c>
      <c r="G33" s="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7" t="s">
        <v>92</v>
      </c>
      <c r="B34" s="8">
        <v>50.0</v>
      </c>
      <c r="C34" s="9">
        <v>-0.169</v>
      </c>
      <c r="D34" s="9">
        <v>-0.206</v>
      </c>
      <c r="E34" s="9">
        <v>-0.14</v>
      </c>
      <c r="F34" s="9">
        <v>-0.153</v>
      </c>
      <c r="G34" s="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6"/>
      <c r="B35" s="8">
        <v>100.0</v>
      </c>
      <c r="C35" s="30">
        <f>+0.1</f>
        <v>0.1</v>
      </c>
      <c r="D35" s="9">
        <v>-0.01</v>
      </c>
      <c r="E35" s="30">
        <f>+0.039</f>
        <v>0.039</v>
      </c>
      <c r="F35" s="30">
        <f>+0.027</f>
        <v>0.027</v>
      </c>
      <c r="G35" s="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9"/>
      <c r="B36" s="8">
        <v>200.0</v>
      </c>
      <c r="C36" s="30">
        <f>+0.191</f>
        <v>0.191</v>
      </c>
      <c r="D36" s="9">
        <v>-0.096</v>
      </c>
      <c r="E36" s="9">
        <v>-0.006</v>
      </c>
      <c r="F36" s="9">
        <v>-0.02</v>
      </c>
      <c r="G36" s="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7" t="s">
        <v>93</v>
      </c>
      <c r="B37" s="8">
        <v>50.0</v>
      </c>
      <c r="C37" s="30">
        <f>+0.062</f>
        <v>0.062</v>
      </c>
      <c r="D37" s="30">
        <f>+0.031</f>
        <v>0.031</v>
      </c>
      <c r="E37" s="9">
        <v>-0.001</v>
      </c>
      <c r="F37" s="30">
        <f>+0.017</f>
        <v>0.017</v>
      </c>
      <c r="G37" s="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6"/>
      <c r="B38" s="8">
        <v>100.0</v>
      </c>
      <c r="C38" s="30">
        <f>+0.045</f>
        <v>0.045</v>
      </c>
      <c r="D38" s="30">
        <f>+0.048</f>
        <v>0.048</v>
      </c>
      <c r="E38" s="30">
        <f>+0.024</f>
        <v>0.024</v>
      </c>
      <c r="F38" s="30">
        <f>+0.037</f>
        <v>0.037</v>
      </c>
      <c r="G38" s="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9"/>
      <c r="B39" s="8">
        <v>200.0</v>
      </c>
      <c r="C39" s="30">
        <f>+0.049</f>
        <v>0.049</v>
      </c>
      <c r="D39" s="30">
        <f>+0.057</f>
        <v>0.057</v>
      </c>
      <c r="E39" s="30">
        <f>+0.022</f>
        <v>0.022</v>
      </c>
      <c r="F39" s="30">
        <f>+0.024</f>
        <v>0.024</v>
      </c>
      <c r="G39" s="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31">
        <v>46182.0</v>
      </c>
      <c r="D40" s="31">
        <v>46121.0</v>
      </c>
      <c r="E40" s="31">
        <v>46151.0</v>
      </c>
      <c r="F40" s="31">
        <v>46151.0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A34:A36"/>
    <mergeCell ref="A37:A39"/>
    <mergeCell ref="A3:A6"/>
    <mergeCell ref="A7:A10"/>
    <mergeCell ref="A11:A14"/>
    <mergeCell ref="A15:A18"/>
    <mergeCell ref="A19:A22"/>
    <mergeCell ref="A23:A26"/>
    <mergeCell ref="A31:A33"/>
  </mergeCell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13.13"/>
    <col customWidth="1" min="3" max="3" width="14.88"/>
    <col customWidth="1" min="4" max="4" width="16.38"/>
    <col customWidth="1" min="5" max="5" width="19.75"/>
    <col customWidth="1" min="6" max="6" width="17.63"/>
    <col customWidth="1" min="7" max="7" width="15.63"/>
    <col customWidth="1" min="23" max="23" width="21.88"/>
  </cols>
  <sheetData>
    <row r="1">
      <c r="A1" s="1"/>
      <c r="B1" s="2" t="s">
        <v>94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/>
      <c r="X2" s="1"/>
      <c r="Y2" s="1"/>
      <c r="Z2" s="1"/>
    </row>
    <row r="3">
      <c r="A3" s="7" t="s">
        <v>7</v>
      </c>
      <c r="B3" s="9" t="s">
        <v>8</v>
      </c>
      <c r="C3" s="9">
        <v>0.737</v>
      </c>
      <c r="D3" s="9">
        <v>0.689</v>
      </c>
      <c r="E3" s="9">
        <v>0.764</v>
      </c>
      <c r="F3" s="9">
        <v>0.778</v>
      </c>
      <c r="G3" s="10"/>
      <c r="X3" s="1"/>
      <c r="Y3" s="1"/>
      <c r="Z3" s="1"/>
    </row>
    <row r="4">
      <c r="A4" s="16"/>
      <c r="B4" s="9">
        <v>50.0</v>
      </c>
      <c r="C4" s="9" t="s">
        <v>95</v>
      </c>
      <c r="D4" s="9" t="s">
        <v>96</v>
      </c>
      <c r="E4" s="9" t="s">
        <v>97</v>
      </c>
      <c r="F4" s="9" t="s">
        <v>98</v>
      </c>
      <c r="G4" s="17"/>
      <c r="X4" s="1"/>
      <c r="Y4" s="1"/>
      <c r="Z4" s="1"/>
    </row>
    <row r="5">
      <c r="A5" s="16"/>
      <c r="B5" s="9">
        <v>100.0</v>
      </c>
      <c r="C5" s="9" t="s">
        <v>99</v>
      </c>
      <c r="D5" s="9" t="s">
        <v>100</v>
      </c>
      <c r="E5" s="9" t="s">
        <v>101</v>
      </c>
      <c r="F5" s="9" t="s">
        <v>102</v>
      </c>
      <c r="G5" s="18"/>
      <c r="X5" s="1"/>
      <c r="Y5" s="1"/>
      <c r="Z5" s="1"/>
    </row>
    <row r="6">
      <c r="A6" s="19"/>
      <c r="B6" s="9">
        <v>200.0</v>
      </c>
      <c r="C6" s="9" t="s">
        <v>103</v>
      </c>
      <c r="D6" s="9" t="s">
        <v>104</v>
      </c>
      <c r="E6" s="9" t="s">
        <v>105</v>
      </c>
      <c r="F6" s="9" t="s">
        <v>106</v>
      </c>
      <c r="G6" s="10"/>
      <c r="X6" s="1"/>
      <c r="Y6" s="1"/>
      <c r="Z6" s="1"/>
    </row>
    <row r="7">
      <c r="A7" s="7" t="s">
        <v>21</v>
      </c>
      <c r="B7" s="9" t="s">
        <v>8</v>
      </c>
      <c r="C7" s="9">
        <v>0.632</v>
      </c>
      <c r="D7" s="9">
        <v>0.712</v>
      </c>
      <c r="E7" s="9">
        <v>0.784</v>
      </c>
      <c r="F7" s="9">
        <v>0.785</v>
      </c>
      <c r="G7" s="20"/>
      <c r="X7" s="1"/>
      <c r="Y7" s="1"/>
      <c r="Z7" s="1"/>
    </row>
    <row r="8">
      <c r="A8" s="16"/>
      <c r="B8" s="9">
        <v>50.0</v>
      </c>
      <c r="C8" s="9" t="s">
        <v>107</v>
      </c>
      <c r="D8" s="9" t="s">
        <v>108</v>
      </c>
      <c r="E8" s="9" t="s">
        <v>109</v>
      </c>
      <c r="F8" s="9" t="s">
        <v>110</v>
      </c>
      <c r="G8" s="18"/>
      <c r="X8" s="1"/>
      <c r="Y8" s="1"/>
      <c r="Z8" s="1"/>
    </row>
    <row r="9">
      <c r="A9" s="16"/>
      <c r="B9" s="9">
        <v>100.0</v>
      </c>
      <c r="C9" s="9" t="s">
        <v>111</v>
      </c>
      <c r="D9" s="9" t="s">
        <v>112</v>
      </c>
      <c r="E9" s="9" t="s">
        <v>113</v>
      </c>
      <c r="F9" s="9" t="s">
        <v>114</v>
      </c>
      <c r="G9" s="10"/>
      <c r="X9" s="1"/>
      <c r="Y9" s="1"/>
      <c r="Z9" s="1"/>
    </row>
    <row r="10">
      <c r="A10" s="19"/>
      <c r="B10" s="9">
        <v>200.0</v>
      </c>
      <c r="C10" s="9" t="s">
        <v>115</v>
      </c>
      <c r="D10" s="9" t="s">
        <v>116</v>
      </c>
      <c r="E10" s="9" t="s">
        <v>117</v>
      </c>
      <c r="F10" s="9" t="s">
        <v>118</v>
      </c>
      <c r="G10" s="21"/>
      <c r="X10" s="1"/>
      <c r="Y10" s="1"/>
      <c r="Z10" s="1"/>
    </row>
    <row r="11">
      <c r="A11" s="7" t="s">
        <v>34</v>
      </c>
      <c r="B11" s="9" t="s">
        <v>8</v>
      </c>
      <c r="C11" s="9">
        <v>0.852</v>
      </c>
      <c r="D11" s="9">
        <v>0.489</v>
      </c>
      <c r="E11" s="9">
        <v>0.739</v>
      </c>
      <c r="F11" s="9">
        <v>0.766</v>
      </c>
      <c r="G11" s="18"/>
      <c r="X11" s="1"/>
      <c r="Y11" s="1"/>
      <c r="Z11" s="1"/>
    </row>
    <row r="12">
      <c r="A12" s="16"/>
      <c r="B12" s="9">
        <v>50.0</v>
      </c>
      <c r="C12" s="9" t="s">
        <v>119</v>
      </c>
      <c r="D12" s="9" t="s">
        <v>120</v>
      </c>
      <c r="E12" s="9" t="s">
        <v>121</v>
      </c>
      <c r="F12" s="9" t="s">
        <v>122</v>
      </c>
      <c r="G12" s="10"/>
      <c r="H12" s="10"/>
      <c r="I12" s="10"/>
      <c r="J12" s="1"/>
      <c r="K12" s="1"/>
      <c r="L12" s="1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1"/>
      <c r="Y12" s="1"/>
      <c r="Z12" s="1"/>
    </row>
    <row r="13">
      <c r="A13" s="16"/>
      <c r="B13" s="9">
        <v>100.0</v>
      </c>
      <c r="C13" s="9" t="s">
        <v>123</v>
      </c>
      <c r="D13" s="9" t="s">
        <v>124</v>
      </c>
      <c r="E13" s="9" t="s">
        <v>125</v>
      </c>
      <c r="F13" s="9" t="s">
        <v>126</v>
      </c>
      <c r="G13" s="26"/>
      <c r="H13" s="26"/>
      <c r="I13" s="26"/>
      <c r="J13" s="1"/>
      <c r="K13" s="1"/>
      <c r="L13" s="1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1"/>
      <c r="Y13" s="1"/>
      <c r="Z13" s="1"/>
    </row>
    <row r="14">
      <c r="A14" s="19"/>
      <c r="B14" s="9">
        <v>200.0</v>
      </c>
      <c r="C14" s="9" t="s">
        <v>127</v>
      </c>
      <c r="D14" s="9" t="s">
        <v>128</v>
      </c>
      <c r="E14" s="9" t="s">
        <v>129</v>
      </c>
      <c r="F14" s="9" t="s">
        <v>130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7" t="s">
        <v>47</v>
      </c>
      <c r="B15" s="9" t="s">
        <v>8</v>
      </c>
      <c r="C15" s="9">
        <v>0.706</v>
      </c>
      <c r="D15" s="9">
        <v>0.661</v>
      </c>
      <c r="E15" s="9">
        <v>0.783</v>
      </c>
      <c r="F15" s="9">
        <v>0.809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9">
        <v>50.0</v>
      </c>
      <c r="C16" s="9" t="s">
        <v>131</v>
      </c>
      <c r="D16" s="9" t="s">
        <v>132</v>
      </c>
      <c r="E16" s="9" t="s">
        <v>133</v>
      </c>
      <c r="F16" s="9" t="s">
        <v>134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/>
      <c r="B17" s="9">
        <v>100.0</v>
      </c>
      <c r="C17" s="9" t="s">
        <v>135</v>
      </c>
      <c r="D17" s="9" t="s">
        <v>136</v>
      </c>
      <c r="E17" s="9" t="s">
        <v>137</v>
      </c>
      <c r="F17" s="9" t="s">
        <v>138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9"/>
      <c r="B18" s="9">
        <v>200.0</v>
      </c>
      <c r="C18" s="9" t="s">
        <v>139</v>
      </c>
      <c r="D18" s="9" t="s">
        <v>140</v>
      </c>
      <c r="E18" s="9" t="s">
        <v>141</v>
      </c>
      <c r="F18" s="9" t="s">
        <v>142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7" t="s">
        <v>60</v>
      </c>
      <c r="B19" s="9" t="s">
        <v>8</v>
      </c>
      <c r="C19" s="9">
        <v>0.691</v>
      </c>
      <c r="D19" s="9">
        <v>0.705</v>
      </c>
      <c r="E19" s="9">
        <v>0.725</v>
      </c>
      <c r="F19" s="9">
        <v>0.73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6"/>
      <c r="B20" s="9">
        <v>50.0</v>
      </c>
      <c r="C20" s="9" t="s">
        <v>143</v>
      </c>
      <c r="D20" s="9" t="s">
        <v>144</v>
      </c>
      <c r="E20" s="9" t="s">
        <v>145</v>
      </c>
      <c r="F20" s="9" t="s">
        <v>146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6"/>
      <c r="B21" s="9">
        <v>100.0</v>
      </c>
      <c r="C21" s="9" t="s">
        <v>147</v>
      </c>
      <c r="D21" s="9" t="s">
        <v>148</v>
      </c>
      <c r="E21" s="9" t="s">
        <v>149</v>
      </c>
      <c r="F21" s="9" t="s">
        <v>150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9"/>
      <c r="B22" s="9">
        <v>200.0</v>
      </c>
      <c r="C22" s="9" t="s">
        <v>151</v>
      </c>
      <c r="D22" s="9" t="s">
        <v>152</v>
      </c>
      <c r="E22" s="9" t="s">
        <v>153</v>
      </c>
      <c r="F22" s="9" t="s">
        <v>154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7" t="s">
        <v>73</v>
      </c>
      <c r="B23" s="9" t="s">
        <v>8</v>
      </c>
      <c r="C23" s="9">
        <v>0.713</v>
      </c>
      <c r="D23" s="9">
        <v>0.7</v>
      </c>
      <c r="E23" s="9">
        <v>0.732</v>
      </c>
      <c r="F23" s="9">
        <v>0.737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6"/>
      <c r="B24" s="9">
        <v>50.0</v>
      </c>
      <c r="C24" s="9" t="s">
        <v>155</v>
      </c>
      <c r="D24" s="9" t="s">
        <v>156</v>
      </c>
      <c r="E24" s="9" t="s">
        <v>157</v>
      </c>
      <c r="F24" s="9" t="s">
        <v>158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6"/>
      <c r="B25" s="9">
        <v>100.0</v>
      </c>
      <c r="C25" s="9" t="s">
        <v>159</v>
      </c>
      <c r="D25" s="9" t="s">
        <v>160</v>
      </c>
      <c r="E25" s="9" t="s">
        <v>161</v>
      </c>
      <c r="F25" s="9" t="s">
        <v>162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9"/>
      <c r="B26" s="9">
        <v>200.0</v>
      </c>
      <c r="C26" s="9" t="s">
        <v>163</v>
      </c>
      <c r="D26" s="9" t="s">
        <v>164</v>
      </c>
      <c r="E26" s="9" t="s">
        <v>161</v>
      </c>
      <c r="F26" s="9" t="s">
        <v>165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 t="s">
        <v>86</v>
      </c>
      <c r="B29" s="3" t="s">
        <v>2</v>
      </c>
      <c r="C29" s="4" t="s">
        <v>87</v>
      </c>
      <c r="D29" s="4" t="s">
        <v>88</v>
      </c>
      <c r="E29" s="4" t="s">
        <v>89</v>
      </c>
      <c r="F29" s="4" t="s">
        <v>90</v>
      </c>
      <c r="G29" s="4" t="s">
        <v>166</v>
      </c>
      <c r="H29" s="33"/>
      <c r="I29" s="33"/>
      <c r="J29" s="33"/>
      <c r="K29" s="33"/>
      <c r="L29" s="33"/>
      <c r="M29" s="33"/>
      <c r="N29" s="33"/>
      <c r="O29" s="33"/>
      <c r="P29" s="33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7" t="s">
        <v>91</v>
      </c>
      <c r="B30" s="8">
        <v>50.0</v>
      </c>
      <c r="C30" s="9">
        <v>-0.066</v>
      </c>
      <c r="D30" s="9">
        <v>-0.324</v>
      </c>
      <c r="E30" s="9">
        <v>-0.032</v>
      </c>
      <c r="F30" s="9">
        <v>-0.043</v>
      </c>
      <c r="G30" s="9" t="s">
        <v>167</v>
      </c>
      <c r="H30" s="34"/>
      <c r="I30" s="35"/>
      <c r="J30" s="35"/>
      <c r="K30" s="34"/>
      <c r="L30" s="35"/>
      <c r="M30" s="35"/>
      <c r="N30" s="34"/>
      <c r="O30" s="35"/>
      <c r="P30" s="36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6"/>
      <c r="B31" s="8">
        <v>100.0</v>
      </c>
      <c r="C31" s="37">
        <f>+0.01</f>
        <v>0.01</v>
      </c>
      <c r="D31" s="9">
        <v>-0.082</v>
      </c>
      <c r="E31" s="9">
        <v>-0.02</v>
      </c>
      <c r="F31" s="9">
        <v>-0.023</v>
      </c>
      <c r="G31" s="9" t="s">
        <v>168</v>
      </c>
      <c r="H31" s="34"/>
      <c r="I31" s="35"/>
      <c r="J31" s="35"/>
      <c r="K31" s="34"/>
      <c r="L31" s="35"/>
      <c r="M31" s="35"/>
      <c r="N31" s="34"/>
      <c r="O31" s="35"/>
      <c r="P31" s="36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9"/>
      <c r="B32" s="8">
        <v>200.0</v>
      </c>
      <c r="C32" s="9">
        <v>-0.025</v>
      </c>
      <c r="D32" s="9">
        <v>-0.125</v>
      </c>
      <c r="E32" s="9">
        <v>-0.025</v>
      </c>
      <c r="F32" s="9">
        <v>-0.04</v>
      </c>
      <c r="G32" s="9" t="s">
        <v>167</v>
      </c>
      <c r="H32" s="34"/>
      <c r="I32" s="35"/>
      <c r="J32" s="35"/>
      <c r="K32" s="34"/>
      <c r="L32" s="35"/>
      <c r="M32" s="35"/>
      <c r="N32" s="34"/>
      <c r="O32" s="35"/>
      <c r="P32" s="36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7" t="s">
        <v>169</v>
      </c>
      <c r="B33" s="8">
        <v>50.0</v>
      </c>
      <c r="C33" s="37">
        <f>+0.144</f>
        <v>0.144</v>
      </c>
      <c r="D33" s="37">
        <f>+0.096</f>
        <v>0.096</v>
      </c>
      <c r="E33" s="37">
        <f>+0.023</f>
        <v>0.023</v>
      </c>
      <c r="F33" s="9">
        <v>-0.011</v>
      </c>
      <c r="G33" s="9" t="s">
        <v>170</v>
      </c>
      <c r="H33" s="34"/>
      <c r="I33" s="35"/>
      <c r="J33" s="35"/>
      <c r="K33" s="34"/>
      <c r="L33" s="35"/>
      <c r="M33" s="35"/>
      <c r="N33" s="34"/>
      <c r="O33" s="35"/>
      <c r="P33" s="36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6"/>
      <c r="B34" s="8">
        <v>100.0</v>
      </c>
      <c r="C34" s="37">
        <f>+0.113</f>
        <v>0.113</v>
      </c>
      <c r="D34" s="9">
        <v>-0.054</v>
      </c>
      <c r="E34" s="9">
        <v>-0.006</v>
      </c>
      <c r="F34" s="9">
        <v>-0.025</v>
      </c>
      <c r="G34" s="9" t="s">
        <v>168</v>
      </c>
      <c r="H34" s="34"/>
      <c r="I34" s="35"/>
      <c r="J34" s="35"/>
      <c r="K34" s="34"/>
      <c r="L34" s="35"/>
      <c r="M34" s="35"/>
      <c r="N34" s="34"/>
      <c r="O34" s="35"/>
      <c r="P34" s="36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9"/>
      <c r="B35" s="8">
        <v>200.0</v>
      </c>
      <c r="C35" s="37">
        <f>+0.012</f>
        <v>0.012</v>
      </c>
      <c r="D35" s="37">
        <f>+0.069</f>
        <v>0.069</v>
      </c>
      <c r="E35" s="37">
        <f>+0.018</f>
        <v>0.018</v>
      </c>
      <c r="F35" s="37">
        <f>+0.005</f>
        <v>0.005</v>
      </c>
      <c r="G35" s="9" t="s">
        <v>171</v>
      </c>
      <c r="H35" s="34"/>
      <c r="I35" s="35"/>
      <c r="J35" s="35"/>
      <c r="K35" s="34"/>
      <c r="L35" s="35"/>
      <c r="M35" s="35"/>
      <c r="N35" s="34"/>
      <c r="O35" s="35"/>
      <c r="P35" s="36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7" t="s">
        <v>93</v>
      </c>
      <c r="B36" s="8">
        <v>50.0</v>
      </c>
      <c r="C36" s="9">
        <v>-0.068</v>
      </c>
      <c r="D36" s="9">
        <v>-0.083</v>
      </c>
      <c r="E36" s="9">
        <v>-0.055</v>
      </c>
      <c r="F36" s="9">
        <v>-0.053</v>
      </c>
      <c r="G36" s="9" t="s">
        <v>167</v>
      </c>
      <c r="H36" s="34"/>
      <c r="I36" s="35"/>
      <c r="J36" s="35"/>
      <c r="K36" s="34"/>
      <c r="L36" s="35"/>
      <c r="M36" s="35"/>
      <c r="N36" s="34"/>
      <c r="O36" s="35"/>
      <c r="P36" s="36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6"/>
      <c r="B37" s="8">
        <v>100.0</v>
      </c>
      <c r="C37" s="9">
        <v>-0.067</v>
      </c>
      <c r="D37" s="9">
        <v>-0.044</v>
      </c>
      <c r="E37" s="9">
        <v>-0.037</v>
      </c>
      <c r="F37" s="9">
        <v>-0.049</v>
      </c>
      <c r="G37" s="9" t="s">
        <v>167</v>
      </c>
      <c r="H37" s="34"/>
      <c r="I37" s="35"/>
      <c r="J37" s="35"/>
      <c r="K37" s="34"/>
      <c r="L37" s="35"/>
      <c r="M37" s="35"/>
      <c r="N37" s="34"/>
      <c r="O37" s="35"/>
      <c r="P37" s="36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9"/>
      <c r="B38" s="8">
        <v>200.0</v>
      </c>
      <c r="C38" s="9">
        <v>-0.053</v>
      </c>
      <c r="D38" s="9">
        <v>-0.043</v>
      </c>
      <c r="E38" s="9">
        <v>-0.028</v>
      </c>
      <c r="F38" s="9">
        <v>-0.033</v>
      </c>
      <c r="G38" s="9" t="s">
        <v>167</v>
      </c>
      <c r="H38" s="34"/>
      <c r="I38" s="35"/>
      <c r="J38" s="35"/>
      <c r="K38" s="34"/>
      <c r="L38" s="35"/>
      <c r="M38" s="35"/>
      <c r="N38" s="34"/>
      <c r="O38" s="35"/>
      <c r="P38" s="36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A33:A35"/>
    <mergeCell ref="A36:A38"/>
    <mergeCell ref="A3:A6"/>
    <mergeCell ref="A7:A10"/>
    <mergeCell ref="A11:A14"/>
    <mergeCell ref="A15:A18"/>
    <mergeCell ref="A19:A22"/>
    <mergeCell ref="A23:A26"/>
    <mergeCell ref="A30:A32"/>
  </mergeCell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